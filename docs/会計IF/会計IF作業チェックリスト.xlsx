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正チェックリスト" sheetId="1" state="visible" r:id="rId1"/>
    <sheet name="新規CRUD対象" sheetId="2" state="visible" r:id="rId2"/>
    <sheet name="成果物一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sz val="9"/>
    </font>
    <font>
      <name val="Arial"/>
      <sz val="9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Arial"/>
        <color rgb="00006100"/>
        <sz val="10"/>
      </font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60" customWidth="1" min="4" max="4"/>
    <col width="7" customWidth="1" min="5" max="5"/>
    <col width="10" customWidth="1" min="6" max="6"/>
    <col width="7" customWidth="1" min="7" max="7"/>
    <col width="26" customWidth="1" min="8" max="8"/>
  </cols>
  <sheetData>
    <row r="1">
      <c r="A1" s="1" t="inlineStr">
        <is>
          <t>会計IF 作業チェックリスト</t>
        </is>
      </c>
    </row>
    <row r="2">
      <c r="A2" s="2" t="inlineStr">
        <is>
          <t>方針: 日付は yyyyMMdd 標準化（値=yyyyMMdd / 表示=yyyy/MM/dd）。 状態列はドロップダウン、完了列に「✓」。</t>
        </is>
      </c>
    </row>
    <row r="3">
      <c r="F3" s="3" t="inlineStr">
        <is>
          <t>完了件数</t>
        </is>
      </c>
      <c r="G3" s="4">
        <f>COUNTIF(F6:F100,"完了")</f>
        <v/>
      </c>
    </row>
    <row r="4">
      <c r="F4" s="3" t="inlineStr">
        <is>
          <t>総件数</t>
        </is>
      </c>
      <c r="G4" s="4">
        <f>COUNTA(A6:A100)</f>
        <v/>
      </c>
    </row>
    <row r="5">
      <c r="A5" s="5" t="inlineStr">
        <is>
          <t>No</t>
        </is>
      </c>
      <c r="B5" s="5" t="inlineStr">
        <is>
          <t>分類</t>
        </is>
      </c>
      <c r="C5" s="5" t="inlineStr">
        <is>
          <t>対象（画面/フロー）</t>
        </is>
      </c>
      <c r="D5" s="5" t="inlineStr">
        <is>
          <t>内容</t>
        </is>
      </c>
      <c r="E5" s="5" t="inlineStr">
        <is>
          <t>優先度</t>
        </is>
      </c>
      <c r="F5" s="5" t="inlineStr">
        <is>
          <t>状態</t>
        </is>
      </c>
      <c r="G5" s="5" t="inlineStr">
        <is>
          <t>完了</t>
        </is>
      </c>
      <c r="H5" s="5" t="inlineStr">
        <is>
          <t>メモ</t>
        </is>
      </c>
    </row>
    <row r="6">
      <c r="A6" s="6" t="n">
        <v>1</v>
      </c>
      <c r="B6" s="7" t="inlineStr">
        <is>
          <t>日付</t>
        </is>
      </c>
      <c r="C6" s="7" t="inlineStr">
        <is>
          <t>全フロー</t>
        </is>
      </c>
      <c r="D6" s="7" t="inlineStr">
        <is>
          <t>日付フォーマットを yyyyMMdd に標準化（値=yyyyMMdd / 表示=yyyy/MM/dd）</t>
        </is>
      </c>
      <c r="E6" s="8" t="inlineStr">
        <is>
          <t>高</t>
        </is>
      </c>
      <c r="F6" s="6" t="inlineStr">
        <is>
          <t>対応中</t>
        </is>
      </c>
      <c r="G6" s="6" t="inlineStr"/>
      <c r="H6" s="7" t="inlineStr">
        <is>
          <t>方針決定 2026-07-19</t>
        </is>
      </c>
    </row>
    <row r="7">
      <c r="A7" s="6" t="n">
        <v>2</v>
      </c>
      <c r="B7" s="7" t="inlineStr">
        <is>
          <t>日付</t>
        </is>
      </c>
      <c r="C7" s="7" t="inlineStr">
        <is>
          <t>全画面</t>
        </is>
      </c>
      <c r="D7" s="7" t="inlineStr">
        <is>
          <t>画面の日付「送信値」を yyyyMMdd に統一（表示はウィジェット書式）</t>
        </is>
      </c>
      <c r="E7" s="8" t="inlineStr">
        <is>
          <t>高</t>
        </is>
      </c>
      <c r="F7" s="6" t="inlineStr">
        <is>
          <t>未着手</t>
        </is>
      </c>
      <c r="G7" s="6" t="inlineStr"/>
      <c r="H7" s="7" t="inlineStr">
        <is>
          <t>標準化の本体作業</t>
        </is>
      </c>
    </row>
    <row r="8">
      <c r="A8" s="6" t="n">
        <v>3</v>
      </c>
      <c r="B8" s="7" t="inlineStr">
        <is>
          <t>不具合</t>
        </is>
      </c>
      <c r="C8" s="7" t="inlineStr">
        <is>
          <t>仕掛品出庫「更新」</t>
        </is>
      </c>
      <c r="D8" s="7" t="inlineStr">
        <is>
          <t>UPDATE構文エラー修正（SET句カンマ抜け2＋WHERE直前の余分カンマ）</t>
        </is>
      </c>
      <c r="E8" s="8" t="inlineStr">
        <is>
          <t>高</t>
        </is>
      </c>
      <c r="F8" s="6" t="inlineStr">
        <is>
          <t>対応中</t>
        </is>
      </c>
      <c r="G8" s="6" t="inlineStr"/>
      <c r="H8" s="7" t="inlineStr"/>
    </row>
    <row r="9">
      <c r="A9" s="6" t="n">
        <v>4</v>
      </c>
      <c r="B9" s="7" t="inlineStr">
        <is>
          <t>不具合</t>
        </is>
      </c>
      <c r="C9" s="7" t="inlineStr">
        <is>
          <t>仕掛品出庫「更新」</t>
        </is>
      </c>
      <c r="D9" s="7" t="inlineStr">
        <is>
          <t>更新の呼び出しを GET → PUT/POST</t>
        </is>
      </c>
      <c r="E9" s="8" t="inlineStr">
        <is>
          <t>高</t>
        </is>
      </c>
      <c r="F9" s="6" t="inlineStr">
        <is>
          <t>対応中</t>
        </is>
      </c>
      <c r="G9" s="6" t="inlineStr"/>
      <c r="H9" s="7" t="inlineStr"/>
    </row>
    <row r="10">
      <c r="A10" s="6" t="n">
        <v>5</v>
      </c>
      <c r="B10" s="7" t="inlineStr">
        <is>
          <t>不具合</t>
        </is>
      </c>
      <c r="C10" s="7" t="inlineStr">
        <is>
          <t>TMC買掛金「チェック」</t>
        </is>
      </c>
      <c r="D10" s="7" t="inlineStr">
        <is>
          <t>呼び先を売掛金フロー→買掛金用チェックへ差し替え</t>
        </is>
      </c>
      <c r="E10" s="8" t="inlineStr">
        <is>
          <t>高</t>
        </is>
      </c>
      <c r="F10" s="6" t="inlineStr">
        <is>
          <t>対応中</t>
        </is>
      </c>
      <c r="G10" s="6" t="inlineStr"/>
      <c r="H10" s="7" t="inlineStr"/>
    </row>
    <row r="11">
      <c r="A11" s="6" t="n">
        <v>6</v>
      </c>
      <c r="B11" s="7" t="inlineStr">
        <is>
          <t>不具合</t>
        </is>
      </c>
      <c r="C11" s="7" t="inlineStr">
        <is>
          <t>TMC買掛金「チェック」</t>
        </is>
      </c>
      <c r="D11" s="7" t="inlineStr">
        <is>
          <t>入力項目名の体系不一致を解消</t>
        </is>
      </c>
      <c r="E11" s="8" t="inlineStr">
        <is>
          <t>高</t>
        </is>
      </c>
      <c r="F11" s="6" t="inlineStr">
        <is>
          <t>対応中</t>
        </is>
      </c>
      <c r="G11" s="6" t="inlineStr"/>
      <c r="H11" s="7" t="inlineStr"/>
    </row>
    <row r="12">
      <c r="A12" s="6" t="n">
        <v>7</v>
      </c>
      <c r="B12" s="7" t="inlineStr">
        <is>
          <t>不具合</t>
        </is>
      </c>
      <c r="C12" s="7" t="inlineStr">
        <is>
          <t>部品仕入単価「検索」</t>
        </is>
      </c>
      <c r="D12" s="7" t="inlineStr">
        <is>
          <t>入力定義を実SQLに合わせる（supplier_identifier/issue_destination/unit_price/configuration_date を宣言、売上用3項目削除）</t>
        </is>
      </c>
      <c r="E12" s="8" t="inlineStr">
        <is>
          <t>高</t>
        </is>
      </c>
      <c r="F12" s="6" t="inlineStr">
        <is>
          <t>対応中</t>
        </is>
      </c>
      <c r="G12" s="6" t="inlineStr"/>
      <c r="H12" s="7" t="inlineStr"/>
    </row>
    <row r="13">
      <c r="A13" s="6" t="n">
        <v>8</v>
      </c>
      <c r="B13" s="7" t="inlineStr">
        <is>
          <t>確認</t>
        </is>
      </c>
      <c r="C13" s="7" t="inlineStr">
        <is>
          <t>特調たな卸単価未決「検索」</t>
        </is>
      </c>
      <c r="D13" s="7" t="inlineStr">
        <is>
          <t>company_identifier の供給元確認（サーバ解決/SQL要否）</t>
        </is>
      </c>
      <c r="E13" s="9" t="inlineStr">
        <is>
          <t>中</t>
        </is>
      </c>
      <c r="F13" s="6" t="inlineStr">
        <is>
          <t>未着手</t>
        </is>
      </c>
      <c r="G13" s="6" t="inlineStr"/>
      <c r="H13" s="7" t="inlineStr"/>
    </row>
    <row r="14">
      <c r="A14" s="6" t="n">
        <v>9</v>
      </c>
      <c r="B14" s="7" t="inlineStr">
        <is>
          <t>確認</t>
        </is>
      </c>
      <c r="C14" s="7" t="inlineStr">
        <is>
          <t>資材差額「削除」</t>
        </is>
      </c>
      <c r="D14" s="7" t="inlineStr">
        <is>
          <t>WHERE を複合キー化するか検討（会社跨ぎ削除防止）</t>
        </is>
      </c>
      <c r="E14" s="9" t="inlineStr">
        <is>
          <t>中</t>
        </is>
      </c>
      <c r="F14" s="6" t="inlineStr">
        <is>
          <t>未着手</t>
        </is>
      </c>
      <c r="G14" s="6" t="inlineStr"/>
      <c r="H14" s="7" t="inlineStr"/>
    </row>
    <row r="15">
      <c r="A15" s="6" t="n">
        <v>10</v>
      </c>
      <c r="B15" s="7" t="inlineStr">
        <is>
          <t>確認</t>
        </is>
      </c>
      <c r="C15" s="7" t="inlineStr">
        <is>
          <t>部品仕入単価</t>
        </is>
      </c>
      <c r="D15" s="7" t="inlineStr">
        <is>
          <t>削除フローの要否</t>
        </is>
      </c>
      <c r="E15" s="10" t="inlineStr">
        <is>
          <t>低</t>
        </is>
      </c>
      <c r="F15" s="6" t="inlineStr">
        <is>
          <t>未着手</t>
        </is>
      </c>
      <c r="G15" s="6" t="inlineStr"/>
      <c r="H15" s="7" t="inlineStr"/>
    </row>
    <row r="16">
      <c r="A16" s="6" t="n">
        <v>11</v>
      </c>
      <c r="B16" s="7" t="inlineStr">
        <is>
          <t>整合</t>
        </is>
      </c>
      <c r="C16" s="7" t="inlineStr">
        <is>
          <t>ルート命名</t>
        </is>
      </c>
      <c r="D16" s="7" t="inlineStr">
        <is>
          <t>ULID系/名前系・単複の混在を統一</t>
        </is>
      </c>
      <c r="E16" s="10" t="inlineStr">
        <is>
          <t>低</t>
        </is>
      </c>
      <c r="F16" s="6" t="inlineStr">
        <is>
          <t>未着手</t>
        </is>
      </c>
      <c r="G16" s="6" t="inlineStr"/>
      <c r="H16" s="7" t="inlineStr"/>
    </row>
    <row r="17">
      <c r="A17" s="6" t="n">
        <v>12</v>
      </c>
      <c r="B17" s="7" t="inlineStr">
        <is>
          <t>データ</t>
        </is>
      </c>
      <c r="C17" s="7" t="inlineStr">
        <is>
          <t>DDL</t>
        </is>
      </c>
      <c r="D17" s="7" t="inlineStr">
        <is>
          <t>旧名を entity 準拠で再生成（specific_effort→specific_labor_hours 等）</t>
        </is>
      </c>
      <c r="E17" s="9" t="inlineStr">
        <is>
          <t>中</t>
        </is>
      </c>
      <c r="F17" s="6" t="inlineStr">
        <is>
          <t>未着手</t>
        </is>
      </c>
      <c r="G17" s="6" t="inlineStr"/>
      <c r="H17" s="7" t="inlineStr">
        <is>
          <t>DB担当と調整</t>
        </is>
      </c>
    </row>
    <row r="18">
      <c r="A18" s="6" t="n">
        <v>13</v>
      </c>
      <c r="B18" s="7" t="inlineStr">
        <is>
          <t>データ</t>
        </is>
      </c>
      <c r="C18" s="7" t="inlineStr">
        <is>
          <t>書込3テーブル</t>
        </is>
      </c>
      <c r="D18" s="7" t="inlineStr">
        <is>
          <t>processing_defect_quantities / specific_labor_hours / work_in_progress_issue_quantities が xlsx のみ→DB構築の正典化</t>
        </is>
      </c>
      <c r="E18" s="9" t="inlineStr">
        <is>
          <t>中</t>
        </is>
      </c>
      <c r="F18" s="6" t="inlineStr">
        <is>
          <t>未着手</t>
        </is>
      </c>
      <c r="G18" s="6" t="inlineStr"/>
      <c r="H18" s="7" t="inlineStr">
        <is>
          <t>DB担当と調整</t>
        </is>
      </c>
    </row>
    <row r="19">
      <c r="A19" s="6" t="n">
        <v>14</v>
      </c>
      <c r="B19" s="7" t="inlineStr">
        <is>
          <t>情報待ち</t>
        </is>
      </c>
      <c r="C19" s="7" t="inlineStr">
        <is>
          <t>部品買入特調単価</t>
        </is>
      </c>
      <c r="D19" s="7" t="inlineStr">
        <is>
          <t>対象テーブル名の確認</t>
        </is>
      </c>
      <c r="E19" s="9" t="inlineStr">
        <is>
          <t>中</t>
        </is>
      </c>
      <c r="F19" s="6" t="inlineStr">
        <is>
          <t>保留</t>
        </is>
      </c>
      <c r="G19" s="6" t="inlineStr"/>
      <c r="H19" s="7" t="inlineStr">
        <is>
          <t>ユーザー連絡待ち</t>
        </is>
      </c>
    </row>
    <row r="20">
      <c r="A20" s="6" t="n">
        <v>15</v>
      </c>
      <c r="B20" s="7" t="inlineStr">
        <is>
          <t>情報待ち</t>
        </is>
      </c>
      <c r="C20" s="7" t="inlineStr">
        <is>
          <t>特調未決/売掛金訂正/外販数量分割</t>
        </is>
      </c>
      <c r="D20" s="7" t="inlineStr">
        <is>
          <t>書込先テーブルの確認</t>
        </is>
      </c>
      <c r="E20" s="9" t="inlineStr">
        <is>
          <t>中</t>
        </is>
      </c>
      <c r="F20" s="6" t="inlineStr">
        <is>
          <t>保留</t>
        </is>
      </c>
      <c r="G20" s="6" t="inlineStr"/>
      <c r="H20" s="7" t="inlineStr">
        <is>
          <t>ユーザー連絡待ち</t>
        </is>
      </c>
    </row>
  </sheetData>
  <conditionalFormatting sqref="F6:F20">
    <cfRule type="cellIs" priority="1" operator="equal" dxfId="0">
      <formula>"完了"</formula>
    </cfRule>
    <cfRule type="cellIs" priority="2" operator="equal" dxfId="1">
      <formula>"対応中"</formula>
    </cfRule>
    <cfRule type="cellIs" priority="3" operator="equal" dxfId="2">
      <formula>"保留"</formula>
    </cfRule>
  </conditionalFormatting>
  <dataValidations count="2">
    <dataValidation sqref="F6:F20" showDropDown="0" showInputMessage="0" showErrorMessage="0" allowBlank="1" type="list">
      <formula1>"未着手,対応中,確認待ち,完了,保留,対象外"</formula1>
    </dataValidation>
    <dataValidation sqref="G6:G20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2" customWidth="1" min="3" max="3"/>
    <col width="7" customWidth="1" min="4" max="4"/>
    <col width="7" customWidth="1" min="5" max="5"/>
    <col width="7" customWidth="1" min="6" max="6"/>
    <col width="20" customWidth="1" min="7" max="7"/>
    <col width="10" customWidth="1" min="8" max="8"/>
    <col width="28" customWidth="1" min="9" max="9"/>
  </cols>
  <sheetData>
    <row r="1">
      <c r="A1" s="1" t="inlineStr">
        <is>
          <t>新規CRUD 作成対象（登録/更新/削除が無い画面）</t>
        </is>
      </c>
    </row>
    <row r="2">
      <c r="A2" s="2" t="inlineStr">
        <is>
          <t>完了は各操作列に「✓」。状態はドロップダウン。作り方＝Designerで模範フローをクローン→設計書のSQL/列で差替。</t>
        </is>
      </c>
    </row>
    <row r="4">
      <c r="A4" s="5" t="inlineStr">
        <is>
          <t>No</t>
        </is>
      </c>
      <c r="B4" s="5" t="inlineStr">
        <is>
          <t>画面</t>
        </is>
      </c>
      <c r="C4" s="5" t="inlineStr">
        <is>
          <t>対象テーブル</t>
        </is>
      </c>
      <c r="D4" s="5" t="inlineStr">
        <is>
          <t>登録</t>
        </is>
      </c>
      <c r="E4" s="5" t="inlineStr">
        <is>
          <t>更新</t>
        </is>
      </c>
      <c r="F4" s="5" t="inlineStr">
        <is>
          <t>削除</t>
        </is>
      </c>
      <c r="G4" s="5" t="inlineStr">
        <is>
          <t>クローン元(模範)</t>
        </is>
      </c>
      <c r="H4" s="5" t="inlineStr">
        <is>
          <t>状態</t>
        </is>
      </c>
      <c r="I4" s="5" t="inlineStr">
        <is>
          <t>メモ</t>
        </is>
      </c>
    </row>
    <row r="5">
      <c r="A5" s="6" t="n">
        <v>1</v>
      </c>
      <c r="B5" s="7" t="inlineStr">
        <is>
          <t>部品売上単価</t>
        </is>
      </c>
      <c r="C5" s="7" t="inlineStr">
        <is>
          <t>tmh_acif_parts_sales_unit_price</t>
        </is>
      </c>
      <c r="D5" s="6" t="inlineStr"/>
      <c r="E5" s="6" t="inlineStr"/>
      <c r="F5" s="6" t="inlineStr"/>
      <c r="G5" s="7" t="inlineStr">
        <is>
          <t>部品仕入単価/加工不良</t>
        </is>
      </c>
      <c r="H5" s="6" t="inlineStr">
        <is>
          <t>未着手</t>
        </is>
      </c>
      <c r="I5" s="7" t="inlineStr">
        <is>
          <t>最優先。姉妹フローが雛形</t>
        </is>
      </c>
    </row>
    <row r="6">
      <c r="A6" s="6" t="n">
        <v>2</v>
      </c>
      <c r="B6" s="7" t="inlineStr">
        <is>
          <t>部品売上原価調整</t>
        </is>
      </c>
      <c r="C6" s="7" t="inlineStr">
        <is>
          <t>tmh_acif_parts_sales_cost_adjustments</t>
        </is>
      </c>
      <c r="D6" s="6" t="inlineStr"/>
      <c r="E6" s="6" t="inlineStr"/>
      <c r="F6" s="6" t="inlineStr"/>
      <c r="G6" s="7" t="inlineStr">
        <is>
          <t>加工不良</t>
        </is>
      </c>
      <c r="H6" s="6" t="inlineStr">
        <is>
          <t>未着手</t>
        </is>
      </c>
      <c r="I6" s="7" t="inlineStr"/>
    </row>
    <row r="7">
      <c r="A7" s="6" t="n">
        <v>3</v>
      </c>
      <c r="B7" s="7" t="inlineStr">
        <is>
          <t>部品仕入返品</t>
        </is>
      </c>
      <c r="C7" s="7" t="inlineStr">
        <is>
          <t>tmh_acif_parts_purchase_returns</t>
        </is>
      </c>
      <c r="D7" s="6" t="inlineStr"/>
      <c r="E7" s="6" t="inlineStr"/>
      <c r="F7" s="6" t="inlineStr"/>
      <c r="G7" s="7" t="inlineStr">
        <is>
          <t>加工不良</t>
        </is>
      </c>
      <c r="H7" s="6" t="inlineStr">
        <is>
          <t>未着手</t>
        </is>
      </c>
      <c r="I7" s="7" t="inlineStr"/>
    </row>
    <row r="8">
      <c r="A8" s="6" t="n">
        <v>4</v>
      </c>
      <c r="B8" s="7" t="inlineStr">
        <is>
          <t>部品売上外販品数量分割(月次)</t>
        </is>
      </c>
      <c r="C8" s="7" t="inlineStr">
        <is>
          <t>tmh_acif_parts_sales_external_quantities</t>
        </is>
      </c>
      <c r="D8" s="6" t="inlineStr"/>
      <c r="E8" s="6" t="inlineStr"/>
      <c r="F8" s="6" t="inlineStr"/>
      <c r="G8" s="7" t="inlineStr">
        <is>
          <t>加工不良</t>
        </is>
      </c>
      <c r="H8" s="6" t="inlineStr">
        <is>
          <t>確認待ち</t>
        </is>
      </c>
      <c r="I8" s="7" t="inlineStr">
        <is>
          <t>書込先確認</t>
        </is>
      </c>
    </row>
    <row r="9">
      <c r="A9" s="6" t="n">
        <v>5</v>
      </c>
      <c r="B9" s="7" t="inlineStr">
        <is>
          <t>売掛金買掛金訂正</t>
        </is>
      </c>
      <c r="C9" s="7" t="inlineStr">
        <is>
          <t>tmh_acif_receivable_payable_correction_slips</t>
        </is>
      </c>
      <c r="D9" s="6" t="inlineStr"/>
      <c r="E9" s="6" t="inlineStr"/>
      <c r="F9" s="6" t="inlineStr"/>
      <c r="G9" s="7" t="inlineStr">
        <is>
          <t>資材差額</t>
        </is>
      </c>
      <c r="H9" s="6" t="inlineStr">
        <is>
          <t>確認待ち</t>
        </is>
      </c>
      <c r="I9" s="7" t="inlineStr">
        <is>
          <t>TMCと同一テーブル。更新/削除想定</t>
        </is>
      </c>
    </row>
    <row r="10">
      <c r="A10" s="6" t="n">
        <v>6</v>
      </c>
      <c r="B10" s="7" t="inlineStr">
        <is>
          <t>部品買入特調単価</t>
        </is>
      </c>
      <c r="C10" s="7" t="inlineStr">
        <is>
          <t>(未特定)</t>
        </is>
      </c>
      <c r="D10" s="6" t="inlineStr"/>
      <c r="E10" s="6" t="inlineStr"/>
      <c r="F10" s="6" t="inlineStr"/>
      <c r="G10" s="7" t="inlineStr">
        <is>
          <t>-</t>
        </is>
      </c>
      <c r="H10" s="6" t="inlineStr">
        <is>
          <t>保留</t>
        </is>
      </c>
      <c r="I10" s="7" t="inlineStr">
        <is>
          <t>テーブル名待ち</t>
        </is>
      </c>
    </row>
    <row r="11">
      <c r="A11" s="6" t="n">
        <v>7</v>
      </c>
      <c r="B11" s="7" t="inlineStr">
        <is>
          <t>特調たな卸単価未決</t>
        </is>
      </c>
      <c r="C11" s="7" t="inlineStr">
        <is>
          <t>(要確認)</t>
        </is>
      </c>
      <c r="D11" s="6" t="inlineStr"/>
      <c r="E11" s="6" t="inlineStr"/>
      <c r="F11" s="6" t="inlineStr"/>
      <c r="G11" s="7" t="inlineStr">
        <is>
          <t>-</t>
        </is>
      </c>
      <c r="H11" s="6" t="inlineStr">
        <is>
          <t>保留</t>
        </is>
      </c>
      <c r="I11" s="7" t="inlineStr">
        <is>
          <t>書込先待ち</t>
        </is>
      </c>
    </row>
  </sheetData>
  <conditionalFormatting sqref="H5:H11">
    <cfRule type="cellIs" priority="1" operator="equal" dxfId="0">
      <formula>"完了"</formula>
    </cfRule>
    <cfRule type="cellIs" priority="2" operator="equal" dxfId="1">
      <formula>"対応中"</formula>
    </cfRule>
    <cfRule type="cellIs" priority="3" operator="equal" dxfId="2">
      <formula>"保留"</formula>
    </cfRule>
  </conditionalFormatting>
  <dataValidations count="4">
    <dataValidation sqref="H5:H11" showDropDown="0" showInputMessage="0" showErrorMessage="0" allowBlank="1" type="list">
      <formula1>"未着手,対応中,確認待ち,完了,保留,対象外"</formula1>
    </dataValidation>
    <dataValidation sqref="D5:D11" showDropDown="0" showInputMessage="0" showErrorMessage="0" allowBlank="1" type="list">
      <formula1>"✓"</formula1>
    </dataValidation>
    <dataValidation sqref="E5:E11" showDropDown="0" showInputMessage="0" showErrorMessage="0" allowBlank="1" type="list">
      <formula1>"✓"</formula1>
    </dataValidation>
    <dataValidation sqref="F5:F11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55" customWidth="1" min="2" max="2"/>
  </cols>
  <sheetData>
    <row r="1">
      <c r="A1" s="1" t="inlineStr">
        <is>
          <t>成果物一覧（docs/会計IF/）</t>
        </is>
      </c>
    </row>
    <row r="3">
      <c r="A3" s="5" t="inlineStr">
        <is>
          <t>ファイル</t>
        </is>
      </c>
      <c r="B3" s="5" t="inlineStr">
        <is>
          <t>役割</t>
        </is>
      </c>
    </row>
    <row r="4">
      <c r="A4" s="7" t="inlineStr">
        <is>
          <t>作業まとめ.md</t>
        </is>
      </c>
      <c r="B4" s="7" t="inlineStr">
        <is>
          <t>index・状態・決定事項の総覧</t>
        </is>
      </c>
    </row>
    <row r="5">
      <c r="A5" s="7" t="inlineStr">
        <is>
          <t>会計IF作業チェックリスト.xlsx</t>
        </is>
      </c>
      <c r="B5" s="7" t="inlineStr">
        <is>
          <t>本チェックリスト（Excel）</t>
        </is>
      </c>
    </row>
    <row r="6">
      <c r="A6" s="7" t="inlineStr">
        <is>
          <t>必要ロジック抽出.md / 必要ロジック.json</t>
        </is>
      </c>
      <c r="B6" s="7" t="inlineStr">
        <is>
          <t>画面起点で必要な29フローの一覧・CRUD・SQL要約</t>
        </is>
      </c>
    </row>
    <row r="7">
      <c r="A7" s="7" t="inlineStr">
        <is>
          <t>テーブル一覧.csv / エンティティ一覧.csv</t>
        </is>
      </c>
      <c r="B7" s="7" t="inlineStr">
        <is>
          <t>正典ベースのテーブル・エンティティ</t>
        </is>
      </c>
    </row>
    <row r="8">
      <c r="A8" s="7" t="inlineStr">
        <is>
          <t>テーブル・エンティティ突合.md</t>
        </is>
      </c>
      <c r="B8" s="7" t="inlineStr">
        <is>
          <t>3ソース不整合・DDL旧名・書込テーブル欠落</t>
        </is>
      </c>
    </row>
    <row r="9">
      <c r="A9" s="7" t="inlineStr">
        <is>
          <t>パラメータ受け渡し検証.md</t>
        </is>
      </c>
      <c r="B9" s="7" t="inlineStr">
        <is>
          <t>検索/登録/更新の項目突合（送信/入力定義/SQL）</t>
        </is>
      </c>
    </row>
    <row r="10">
      <c r="A10" s="7" t="inlineStr">
        <is>
          <t>修正チェックリスト.md</t>
        </is>
      </c>
      <c r="B10" s="7" t="inlineStr">
        <is>
          <t>初回ロジックの要修正点（Excel化前の原本）</t>
        </is>
      </c>
    </row>
    <row r="11">
      <c r="A11" s="7" t="inlineStr">
        <is>
          <t>新規CRUD設計.md</t>
        </is>
      </c>
      <c r="B11" s="7" t="inlineStr">
        <is>
          <t>新規CRUD向けSQL・入力仕様・クローン元</t>
        </is>
      </c>
    </row>
    <row r="12">
      <c r="A12" s="7" t="inlineStr">
        <is>
          <t>日付REPLACE修正SQL.md</t>
        </is>
      </c>
      <c r="B12" s="7" t="inlineStr">
        <is>
          <t>（旧方針）日付REPLACE版SQL。標準化後は参考</t>
        </is>
      </c>
    </row>
    <row r="13">
      <c r="A13" s="7" t="inlineStr">
        <is>
          <t>トリムZip_README.md</t>
        </is>
      </c>
      <c r="B13" s="7" t="inlineStr">
        <is>
          <t>配布用トリムZipの説明・注意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2026-07-18T21:12:30Z</dcterms:created>
  <dcterms:modified xsi:type="dcterms:W3CDTF">2026-07-18T21:12:30Z</dcterms:modified>
</cp:coreProperties>
</file>